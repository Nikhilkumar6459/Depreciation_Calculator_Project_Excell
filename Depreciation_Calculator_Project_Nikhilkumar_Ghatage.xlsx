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12420" windowHeight="4590" tabRatio="600" firstSheet="0" activeTab="1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Depreciation Calculato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[$$-409]#,##0.00_ ;[Red]\-[$$-409]#,##0.00\ "/>
    <numFmt numFmtId="165" formatCode="[$$-409]#,##0.00"/>
    <numFmt numFmtId="166" formatCode="₹#,##0.00"/>
  </numFmts>
  <fonts count="11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Tahoma"/>
      <family val="2"/>
      <b val="1"/>
      <color indexed="81"/>
      <sz val="9"/>
    </font>
    <font>
      <name val="Calibri"/>
      <family val="2"/>
      <color theme="10"/>
      <sz val="11"/>
      <u val="single"/>
    </font>
    <font>
      <name val="Times New Roman"/>
      <family val="1"/>
      <color theme="0"/>
      <sz val="14"/>
    </font>
    <font>
      <name val="Cambria"/>
      <family val="1"/>
      <b val="1"/>
      <color theme="0"/>
      <sz val="20"/>
      <scheme val="major"/>
    </font>
    <font>
      <name val="Times New Roman"/>
      <family val="1"/>
      <b val="1"/>
      <color theme="0"/>
      <sz val="14"/>
    </font>
    <font>
      <name val="Lucida Calligraphy"/>
      <family val="4"/>
      <color rgb="FFFFFF00"/>
      <sz val="25"/>
      <u val="single"/>
    </font>
    <font>
      <name val="Times New Roman"/>
      <family val="1"/>
      <b val="1"/>
      <color theme="0"/>
      <sz val="20"/>
    </font>
    <font>
      <name val="Times New Roman"/>
      <family val="1"/>
      <b val="1"/>
      <color theme="0"/>
      <sz val="1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000F6B78"/>
      </patternFill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 wrapText="1" indent="4"/>
    </xf>
    <xf numFmtId="0" fontId="9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 indent="4"/>
    </xf>
    <xf numFmtId="0" fontId="7" fillId="2" borderId="1" applyAlignment="1" pivotButton="0" quotePrefix="0" xfId="1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right" vertical="center" indent="4"/>
    </xf>
    <xf numFmtId="0" fontId="6" fillId="2" borderId="5" applyAlignment="1" pivotButton="0" quotePrefix="0" xfId="0">
      <alignment horizontal="right" vertical="center" indent="4"/>
    </xf>
    <xf numFmtId="0" fontId="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1">
      <alignment vertical="center" wrapText="1"/>
    </xf>
    <xf numFmtId="0" fontId="0" fillId="0" borderId="8" pivotButton="0" quotePrefix="0" xfId="0"/>
    <xf numFmtId="0" fontId="0" fillId="0" borderId="3" pivotButton="0" quotePrefix="0" xfId="0"/>
    <xf numFmtId="0" fontId="5" fillId="2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0" fillId="0" borderId="5" pivotButton="0" quotePrefix="0" xfId="0"/>
    <xf numFmtId="0" fontId="6" fillId="2" borderId="4" applyAlignment="1" pivotButton="0" quotePrefix="0" xfId="0">
      <alignment vertical="center" wrapText="1"/>
    </xf>
    <xf numFmtId="164" fontId="6" fillId="4" borderId="1" applyAlignment="1" pivotButton="0" quotePrefix="0" xfId="0">
      <alignment vertical="center" wrapText="1"/>
    </xf>
    <xf numFmtId="166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10" fontId="6" fillId="2" borderId="1" applyAlignment="1" pivotButton="0" quotePrefix="0" xfId="0">
      <alignment vertical="center" wrapText="1"/>
    </xf>
    <xf numFmtId="166" fontId="4" fillId="2" borderId="1" applyAlignment="1" pivotButton="0" quotePrefix="0" xfId="0">
      <alignment vertical="center" wrapText="1"/>
    </xf>
    <xf numFmtId="166" fontId="6" fillId="4" borderId="1" applyAlignment="1" pivotButton="0" quotePrefix="0" xfId="0">
      <alignment vertical="center" wrapText="1"/>
    </xf>
    <xf numFmtId="10" fontId="6" fillId="4" borderId="1" applyAlignment="1" pivotButton="0" quotePrefix="0" xfId="0">
      <alignment vertical="center" wrapText="1"/>
    </xf>
    <xf numFmtId="10" fontId="10" fillId="5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165" fontId="4" fillId="2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Windows User</author>
    <author>MD</author>
  </authors>
  <commentList>
    <comment ref="D9" authorId="0" shapeId="0">
      <text>
        <t>In case of no scrap value, please put zero value.</t>
      </text>
    </comment>
    <comment ref="D15" authorId="1" shapeId="0">
      <text>
        <t>Accuracy Check - This cell must be zero.</t>
      </text>
    </comment>
    <comment ref="D21" authorId="0" shapeId="0">
      <text>
        <t>In case of diminishing depreciation scrap value cannot be zero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B19" sqref="AB19"/>
    </sheetView>
  </sheetViews>
  <sheetFormatPr baseColWidth="8" defaultRowHeight="15"/>
  <cols>
    <col width="9.140625" customWidth="1" min="1" max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tabSelected="1" workbookViewId="0">
      <pane xSplit="1" ySplit="25" topLeftCell="B26" activePane="bottomRight" state="frozen"/>
      <selection pane="topRight"/>
      <selection pane="bottomLeft"/>
      <selection pane="bottomRight" activeCell="H17" sqref="H17"/>
    </sheetView>
  </sheetViews>
  <sheetFormatPr baseColWidth="8" defaultColWidth="8.7109375" defaultRowHeight="18.75"/>
  <cols>
    <col width="3.140625" customWidth="1" style="1" min="1" max="1"/>
    <col width="48" customWidth="1" style="1" min="2" max="2"/>
    <col width="27" customWidth="1" style="1" min="3" max="3"/>
    <col width="22" bestFit="1" customWidth="1" style="1" min="4" max="4"/>
    <col width="3.28515625" customWidth="1" style="1" min="5" max="5"/>
    <col width="8.7109375" customWidth="1" style="1" min="6" max="6"/>
    <col width="9" bestFit="1" customWidth="1" style="1" min="7" max="7"/>
    <col width="8.7109375" customWidth="1" style="1" min="8" max="16384"/>
  </cols>
  <sheetData>
    <row r="1" ht="9.949999999999999" customHeight="1" thickBot="1">
      <c r="A1" s="9" t="n"/>
      <c r="B1" s="9" t="n"/>
      <c r="C1" s="9" t="n"/>
      <c r="D1" s="9" t="n"/>
      <c r="E1" s="9" t="n"/>
    </row>
    <row r="2" ht="36.75" customHeight="1" thickBot="1" thickTop="1">
      <c r="A2" s="9" t="n"/>
      <c r="B2" s="22" t="n"/>
      <c r="C2" s="23" t="inlineStr">
        <is>
          <t>Coachx.live</t>
        </is>
      </c>
      <c r="D2" s="24" t="n"/>
      <c r="E2" s="9" t="n"/>
    </row>
    <row r="3" ht="27" customHeight="1" thickBot="1" thickTop="1">
      <c r="A3" s="9" t="n"/>
      <c r="B3" s="25" t="n"/>
      <c r="C3" s="26" t="inlineStr">
        <is>
          <t>Depreciation Calculator</t>
        </is>
      </c>
      <c r="D3" s="24" t="n"/>
      <c r="E3" s="9" t="n"/>
    </row>
    <row r="4" ht="20.25" customHeight="1" thickBot="1" thickTop="1">
      <c r="A4" s="9" t="n"/>
      <c r="B4" s="5" t="n"/>
      <c r="C4" s="5" t="n"/>
      <c r="D4" s="5" t="n"/>
      <c r="E4" s="9" t="n"/>
    </row>
    <row r="5" ht="27" customHeight="1" thickBot="1" thickTop="1">
      <c r="A5" s="9" t="n"/>
      <c r="B5" s="27" t="inlineStr">
        <is>
          <t>Straight Line Method</t>
        </is>
      </c>
      <c r="C5" s="28" t="n"/>
      <c r="D5" s="24" t="n"/>
      <c r="E5" s="9" t="n"/>
    </row>
    <row r="6" ht="20.25" customHeight="1" thickBot="1" thickTop="1">
      <c r="A6" s="9" t="n"/>
      <c r="B6" s="29" t="inlineStr">
        <is>
          <t>Asset Cost</t>
        </is>
      </c>
      <c r="C6" s="28" t="n"/>
      <c r="D6" s="30" t="n">
        <v>450000</v>
      </c>
      <c r="E6" s="9" t="n"/>
    </row>
    <row r="7" ht="20.25" customHeight="1" thickBot="1" thickTop="1">
      <c r="A7" s="9" t="n"/>
      <c r="B7" s="29" t="inlineStr">
        <is>
          <t>Additonal Asset Cost</t>
        </is>
      </c>
      <c r="C7" s="28" t="n"/>
      <c r="D7" s="30" t="n">
        <v>50000</v>
      </c>
      <c r="E7" s="9" t="n"/>
    </row>
    <row r="8" ht="20.25" customHeight="1" thickBot="1" thickTop="1">
      <c r="A8" s="9" t="n"/>
      <c r="B8" s="29" t="inlineStr">
        <is>
          <t>Asset Price</t>
        </is>
      </c>
      <c r="C8" s="28" t="n"/>
      <c r="D8" s="31">
        <f>D6+D7</f>
        <v/>
      </c>
      <c r="E8" s="9" t="n"/>
    </row>
    <row r="9" ht="20.25" customHeight="1" thickBot="1" thickTop="1">
      <c r="A9" s="9" t="n"/>
      <c r="B9" s="29" t="inlineStr">
        <is>
          <t>Scrap Value</t>
        </is>
      </c>
      <c r="C9" s="28" t="n"/>
      <c r="D9" s="30" t="n">
        <v>50000</v>
      </c>
      <c r="E9" s="9" t="n"/>
    </row>
    <row r="10" ht="20.25" customHeight="1" thickBot="1" thickTop="1">
      <c r="A10" s="9" t="n"/>
      <c r="B10" s="29" t="inlineStr">
        <is>
          <t>Estimated Life Span (Years)</t>
        </is>
      </c>
      <c r="C10" s="28" t="n"/>
      <c r="D10" s="32" t="n">
        <v>10</v>
      </c>
      <c r="E10" s="9" t="n"/>
    </row>
    <row r="11" ht="20.25" customHeight="1" thickBot="1" thickTop="1">
      <c r="A11" s="9" t="n"/>
      <c r="B11" s="33" t="inlineStr">
        <is>
          <t>Depreciation / Year as per Straight Line Method</t>
        </is>
      </c>
      <c r="C11" s="24" t="n"/>
      <c r="D11" s="31">
        <f>(D8-D9)/D10</f>
        <v/>
      </c>
      <c r="E11" s="9" t="n"/>
    </row>
    <row r="12" ht="20.25" customHeight="1" thickBot="1" thickTop="1">
      <c r="A12" s="9" t="n"/>
      <c r="B12" s="33" t="inlineStr">
        <is>
          <t>Depreciation Percentage</t>
        </is>
      </c>
      <c r="C12" s="24" t="n"/>
      <c r="D12" s="34">
        <f>D11/D8</f>
        <v/>
      </c>
      <c r="E12" s="9" t="n"/>
    </row>
    <row r="13" ht="20.25" customHeight="1" thickBot="1" thickTop="1">
      <c r="A13" s="9" t="n"/>
      <c r="B13" s="29" t="inlineStr">
        <is>
          <t>Total Depreciation For Its Life Span</t>
        </is>
      </c>
      <c r="C13" s="28" t="n"/>
      <c r="D13" s="35">
        <f>D11*D10</f>
        <v/>
      </c>
      <c r="E13" s="9" t="n"/>
    </row>
    <row r="14" ht="20.25" customHeight="1" thickBot="1" thickTop="1">
      <c r="A14" s="9" t="n"/>
      <c r="B14" s="29" t="inlineStr">
        <is>
          <t>Depreciated Book Value After Its Life Span</t>
        </is>
      </c>
      <c r="C14" s="28" t="n"/>
      <c r="D14" s="35">
        <f>D9</f>
        <v/>
      </c>
      <c r="E14" s="9" t="n"/>
    </row>
    <row r="15" ht="20.25" customHeight="1" thickBot="1" thickTop="1">
      <c r="A15" s="9" t="n"/>
      <c r="B15" s="29" t="inlineStr">
        <is>
          <t>Balance Amount</t>
        </is>
      </c>
      <c r="C15" s="28" t="n"/>
      <c r="D15" s="35">
        <f>D8-D9-D13</f>
        <v/>
      </c>
      <c r="E15" s="9" t="n"/>
    </row>
    <row r="16" ht="20.25" customHeight="1" thickBot="1" thickTop="1">
      <c r="A16" s="9" t="n"/>
      <c r="B16" s="5" t="n"/>
      <c r="C16" s="5" t="n"/>
      <c r="D16" s="5" t="n"/>
      <c r="E16" s="9" t="n"/>
    </row>
    <row r="17" ht="27" customHeight="1" thickBot="1" thickTop="1">
      <c r="A17" s="9" t="n"/>
      <c r="B17" s="27" t="inlineStr">
        <is>
          <t>Diminishing Balance Method</t>
        </is>
      </c>
      <c r="C17" s="28" t="n"/>
      <c r="D17" s="24" t="n"/>
      <c r="E17" s="9" t="n"/>
    </row>
    <row r="18" ht="18.95" customHeight="1" thickBot="1" thickTop="1">
      <c r="A18" s="9" t="n"/>
      <c r="B18" s="33" t="inlineStr">
        <is>
          <t>Asset Cost</t>
        </is>
      </c>
      <c r="C18" s="24" t="n"/>
      <c r="D18" s="30" t="n">
        <v>450000</v>
      </c>
      <c r="E18" s="9" t="n"/>
    </row>
    <row r="19" ht="18.95" customHeight="1" thickBot="1" thickTop="1">
      <c r="A19" s="9" t="n"/>
      <c r="B19" s="33" t="inlineStr">
        <is>
          <t xml:space="preserve">Additonal Asset Cost </t>
        </is>
      </c>
      <c r="C19" s="24" t="n"/>
      <c r="D19" s="36">
        <f>D17+D18</f>
        <v/>
      </c>
      <c r="E19" s="9" t="n"/>
    </row>
    <row r="20" ht="18.95" customHeight="1" thickBot="1" thickTop="1">
      <c r="A20" s="9" t="n"/>
      <c r="B20" s="33" t="inlineStr">
        <is>
          <t>Asset Price</t>
        </is>
      </c>
      <c r="C20" s="24" t="n"/>
      <c r="D20" s="4" t="n"/>
      <c r="E20" s="9" t="n"/>
    </row>
    <row r="21" ht="18.95" customHeight="1" thickBot="1" thickTop="1">
      <c r="A21" s="9" t="n"/>
      <c r="B21" s="33" t="inlineStr">
        <is>
          <t>Scrap Value</t>
        </is>
      </c>
      <c r="C21" s="24" t="n"/>
      <c r="D21" s="30" t="n">
        <v>50000</v>
      </c>
      <c r="E21" s="9" t="n"/>
    </row>
    <row r="22" ht="18.95" customHeight="1" thickBot="1" thickTop="1">
      <c r="A22" s="9" t="n"/>
      <c r="B22" s="33" t="inlineStr">
        <is>
          <t>Estimated Life Span (Years)</t>
        </is>
      </c>
      <c r="C22" s="24" t="n"/>
      <c r="D22" s="37">
        <f>1-(D20/D19)^(1/D21)</f>
        <v/>
      </c>
      <c r="E22" s="9" t="n"/>
    </row>
    <row r="23" ht="18.95" customHeight="1" thickBot="1" thickTop="1">
      <c r="A23" s="9" t="n"/>
      <c r="B23" s="27" t="inlineStr">
        <is>
          <t>Rate of Depreciation as per Diminishing Balance Method</t>
        </is>
      </c>
      <c r="C23" s="24" t="n"/>
      <c r="D23" s="38">
        <f>IF(D20="","",1-(D21/D20)^(1/D22))</f>
        <v/>
      </c>
      <c r="E23" s="9" t="n"/>
    </row>
    <row r="24" ht="24" customHeight="1" thickBot="1" thickTop="1">
      <c r="A24" s="9" t="n"/>
      <c r="B24" s="39" t="inlineStr">
        <is>
          <t>Depreciation Schedule</t>
        </is>
      </c>
      <c r="C24" s="28" t="n"/>
      <c r="D24" s="24" t="n"/>
      <c r="E24" s="9" t="n"/>
    </row>
    <row r="25" ht="20.25" customHeight="1" thickBot="1" thickTop="1">
      <c r="A25" s="9" t="n"/>
      <c r="B25" s="40" t="inlineStr">
        <is>
          <t>Year</t>
        </is>
      </c>
      <c r="C25" s="40" t="inlineStr">
        <is>
          <t>Depreciation Amount</t>
        </is>
      </c>
      <c r="D25" s="40" t="inlineStr">
        <is>
          <t>Closing Book Value</t>
        </is>
      </c>
      <c r="E25" s="9" t="n"/>
    </row>
    <row r="26" ht="20.25" customHeight="1" thickBot="1" thickTop="1">
      <c r="A26" s="9" t="n"/>
      <c r="B26" s="41" t="n">
        <v>1</v>
      </c>
      <c r="C26" s="35">
        <f>$D$19*$D$22</f>
        <v/>
      </c>
      <c r="D26" s="35">
        <f>$D$19-C26</f>
        <v/>
      </c>
      <c r="E26" s="9" t="n"/>
    </row>
    <row r="27" ht="20.25" customHeight="1" thickBot="1" thickTop="1">
      <c r="A27" s="9" t="n"/>
      <c r="B27" s="41" t="n">
        <v>2</v>
      </c>
      <c r="C27" s="35">
        <f>D26*$D$22</f>
        <v/>
      </c>
      <c r="D27" s="35">
        <f>D26-C27</f>
        <v/>
      </c>
      <c r="E27" s="9" t="n"/>
    </row>
    <row r="28" ht="20.25" customHeight="1" thickBot="1" thickTop="1">
      <c r="A28" s="9" t="n"/>
      <c r="B28" s="41" t="n">
        <v>3</v>
      </c>
      <c r="C28" s="35">
        <f>D27*$D$22</f>
        <v/>
      </c>
      <c r="D28" s="35">
        <f>D27-C28</f>
        <v/>
      </c>
      <c r="E28" s="9" t="n"/>
    </row>
    <row r="29" ht="20.25" customHeight="1" thickBot="1" thickTop="1">
      <c r="A29" s="9" t="n"/>
      <c r="B29" s="41" t="n">
        <v>4</v>
      </c>
      <c r="C29" s="35">
        <f>D28*$D$22</f>
        <v/>
      </c>
      <c r="D29" s="35">
        <f>D28-C29</f>
        <v/>
      </c>
      <c r="E29" s="9" t="n"/>
    </row>
    <row r="30" ht="20.25" customHeight="1" thickBot="1" thickTop="1">
      <c r="A30" s="9" t="n"/>
      <c r="B30" s="41" t="n">
        <v>5</v>
      </c>
      <c r="C30" s="35">
        <f>D29*$D$22</f>
        <v/>
      </c>
      <c r="D30" s="35">
        <f>D29-C30</f>
        <v/>
      </c>
      <c r="E30" s="9" t="n"/>
    </row>
    <row r="31" ht="20.25" customHeight="1" thickBot="1" thickTop="1">
      <c r="A31" s="9" t="n"/>
      <c r="B31" s="41" t="n">
        <v>6</v>
      </c>
      <c r="C31" s="35">
        <f>D30*$D$22</f>
        <v/>
      </c>
      <c r="D31" s="35">
        <f>D30-C31</f>
        <v/>
      </c>
      <c r="E31" s="9" t="n"/>
    </row>
    <row r="32" ht="20.25" customHeight="1" thickBot="1" thickTop="1">
      <c r="A32" s="9" t="n"/>
      <c r="B32" s="41" t="n">
        <v>7</v>
      </c>
      <c r="C32" s="35">
        <f>D31*$D$22</f>
        <v/>
      </c>
      <c r="D32" s="35">
        <f>D31-C32</f>
        <v/>
      </c>
      <c r="E32" s="9" t="n"/>
    </row>
    <row r="33" ht="20.25" customHeight="1" thickBot="1" thickTop="1">
      <c r="A33" s="9" t="n"/>
      <c r="B33" s="41" t="n">
        <v>8</v>
      </c>
      <c r="C33" s="35">
        <f>D32*$D$22</f>
        <v/>
      </c>
      <c r="D33" s="35">
        <f>D32-C33</f>
        <v/>
      </c>
      <c r="E33" s="9" t="n"/>
    </row>
    <row r="34" ht="20.25" customHeight="1" thickBot="1" thickTop="1">
      <c r="A34" s="9" t="n"/>
      <c r="B34" s="41" t="n">
        <v>9</v>
      </c>
      <c r="C34" s="35">
        <f>D33*$D$22</f>
        <v/>
      </c>
      <c r="D34" s="35">
        <f>D33-C34</f>
        <v/>
      </c>
      <c r="E34" s="9" t="n"/>
    </row>
    <row r="35" ht="20.25" customHeight="1" thickBot="1" thickTop="1">
      <c r="A35" s="9" t="n"/>
      <c r="B35" s="41" t="n">
        <v>10</v>
      </c>
      <c r="C35" s="35">
        <f>D34*$D$22</f>
        <v/>
      </c>
      <c r="D35" s="35">
        <f>D34-C35</f>
        <v/>
      </c>
      <c r="E35" s="9" t="n"/>
    </row>
    <row r="36" ht="20.25" customHeight="1" thickBot="1" thickTop="1">
      <c r="A36" s="9" t="n"/>
      <c r="B36" s="2" t="n"/>
      <c r="C36" s="42">
        <f>IFERROR(IF(D36&gt;$D$21, (D36*$D$23), ""),"")</f>
        <v/>
      </c>
      <c r="D36" s="42">
        <f>IFERROR(D35-C35, "")</f>
        <v/>
      </c>
      <c r="E36" s="9" t="n"/>
    </row>
    <row r="37" ht="20.25" customHeight="1" thickBot="1" thickTop="1">
      <c r="A37" s="9" t="n"/>
      <c r="B37" s="43" t="inlineStr">
        <is>
          <t>Methodology note</t>
        </is>
      </c>
      <c r="C37" s="8">
        <f>IFERROR(IF(D37&gt;$D$21, (D37*$D$23), ""),"")</f>
        <v/>
      </c>
      <c r="D37" s="8">
        <f>IFERROR(D36-C36, "")</f>
        <v/>
      </c>
      <c r="E37" s="9" t="n"/>
    </row>
    <row r="38" ht="20.25" customHeight="1" thickBot="1" thickTop="1">
      <c r="A38" s="9" t="n"/>
      <c r="B38" s="44" t="inlineStr">
        <is>
          <t>Diminishing-balance rate is calibrated to reach the scrap value at the end of the useful life: 1 − (Scrap Value / Asset Price)^(1 / Useful Life). Replace sample inputs with actual asset values before use.</t>
        </is>
      </c>
      <c r="C38" s="45" t="n"/>
      <c r="D38" s="46" t="n"/>
      <c r="E38" s="9" t="n"/>
    </row>
    <row r="39" ht="20.25" customHeight="1" thickBot="1" thickTop="1">
      <c r="A39" s="9" t="n"/>
      <c r="B39" s="47" t="n"/>
      <c r="C39" s="48" t="n"/>
      <c r="D39" s="49" t="n"/>
      <c r="E39" s="9" t="n"/>
    </row>
    <row r="40" ht="20.25" customHeight="1" thickBot="1" thickTop="1">
      <c r="A40" s="9" t="n"/>
      <c r="B40" s="2" t="n"/>
      <c r="C40" s="8">
        <f>IFERROR(IF(D40&gt;$D$21, (D40*$D$23), ""),"")</f>
        <v/>
      </c>
      <c r="D40" s="8">
        <f>IFERROR(D39-C39, "")</f>
        <v/>
      </c>
      <c r="E40" s="9" t="n"/>
    </row>
    <row r="41" ht="20.25" customHeight="1" thickBot="1" thickTop="1">
      <c r="A41" s="9" t="n"/>
      <c r="B41" s="2" t="n"/>
      <c r="C41" s="8">
        <f>IFERROR(IF(D41&gt;$D$21, (D41*$D$23), ""),"")</f>
        <v/>
      </c>
      <c r="D41" s="8">
        <f>IFERROR(D40-C40, "")</f>
        <v/>
      </c>
      <c r="E41" s="9" t="n"/>
    </row>
    <row r="42" ht="20.25" customHeight="1" thickBot="1" thickTop="1">
      <c r="A42" s="9" t="n"/>
      <c r="B42" s="2" t="n"/>
      <c r="C42" s="8">
        <f>IFERROR(IF(D42&gt;$D$21, (D42*$D$23), ""),"")</f>
        <v/>
      </c>
      <c r="D42" s="8">
        <f>IFERROR(D41-C41, "")</f>
        <v/>
      </c>
      <c r="E42" s="9" t="n"/>
    </row>
    <row r="43" ht="20.25" customHeight="1" thickBot="1" thickTop="1">
      <c r="A43" s="9" t="n"/>
      <c r="B43" s="2" t="n"/>
      <c r="C43" s="8">
        <f>IFERROR(IF(D43&gt;$D$21, (D43*$D$23), ""),"")</f>
        <v/>
      </c>
      <c r="D43" s="8">
        <f>IFERROR(D42-C42, "")</f>
        <v/>
      </c>
      <c r="E43" s="9" t="n"/>
    </row>
    <row r="44" ht="20.25" customHeight="1" thickBot="1" thickTop="1">
      <c r="A44" s="9" t="n"/>
      <c r="B44" s="2" t="n"/>
      <c r="C44" s="8">
        <f>IFERROR(IF(D44&gt;$D$21, (D44*$D$23), ""),"")</f>
        <v/>
      </c>
      <c r="D44" s="8">
        <f>IFERROR(D43-C43, "")</f>
        <v/>
      </c>
      <c r="E44" s="9" t="n"/>
    </row>
    <row r="45" ht="20.25" customHeight="1" thickBot="1" thickTop="1">
      <c r="A45" s="9" t="n"/>
      <c r="B45" s="2" t="n"/>
      <c r="C45" s="8">
        <f>IFERROR(IF(D45&gt;$D$21, (D45*$D$23), ""),"")</f>
        <v/>
      </c>
      <c r="D45" s="8">
        <f>IFERROR(D44-C44, "")</f>
        <v/>
      </c>
      <c r="E45" s="9" t="n"/>
    </row>
    <row r="46" ht="19.5" customHeight="1" thickTop="1">
      <c r="A46" s="9" t="n"/>
      <c r="B46" s="9" t="n"/>
      <c r="C46" s="9" t="n"/>
      <c r="D46" s="9" t="n"/>
      <c r="E46" s="9" t="n"/>
    </row>
  </sheetData>
  <mergeCells count="23">
    <mergeCell ref="B7:C7"/>
    <mergeCell ref="B17:D17"/>
    <mergeCell ref="B22:C22"/>
    <mergeCell ref="B2:B3"/>
    <mergeCell ref="B18:C18"/>
    <mergeCell ref="B12:C12"/>
    <mergeCell ref="B21:C21"/>
    <mergeCell ref="B11:C11"/>
    <mergeCell ref="B23:C23"/>
    <mergeCell ref="B14:C14"/>
    <mergeCell ref="B8:C8"/>
    <mergeCell ref="B24:D24"/>
    <mergeCell ref="B13:C13"/>
    <mergeCell ref="B5:D5"/>
    <mergeCell ref="C2:D2"/>
    <mergeCell ref="B19:C19"/>
    <mergeCell ref="B38:D39"/>
    <mergeCell ref="B10:C10"/>
    <mergeCell ref="B9:C9"/>
    <mergeCell ref="B6:C6"/>
    <mergeCell ref="B15:C15"/>
    <mergeCell ref="B20:C20"/>
    <mergeCell ref="C3:D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paperSize="9" horizont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Fahim;ExcelDataPro</dc:creator>
  <dcterms:created xmlns:dcterms="http://purl.org/dc/terms/" xmlns:xsi="http://www.w3.org/2001/XMLSchema-instance" xsi:type="dcterms:W3CDTF">2019-12-30T10:28:43Z</dcterms:created>
  <dcterms:modified xmlns:dcterms="http://purl.org/dc/terms/" xmlns:xsi="http://www.w3.org/2001/XMLSchema-instance" xsi:type="dcterms:W3CDTF">2026-10-15T07:00:12Z</dcterms:modified>
  <cp:lastModifiedBy>com</cp:lastModifiedBy>
  <cp:keywords>Depreciation Calculator Excel Template;www.ExcelDataPro.com</cp:keywords>
  <cp:lastPrinted>2019-12-30T11:34:18Z</cp:lastPrinted>
</cp:coreProperties>
</file>